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CU-Class\PRESCRIPTIVE ANALYTICS\"/>
    </mc:Choice>
  </mc:AlternateContent>
  <xr:revisionPtr revIDLastSave="0" documentId="13_ncr:1_{A2B9BE24-CA22-4843-A9B0-ACC49ED41059}" xr6:coauthVersionLast="36" xr6:coauthVersionMax="36" xr10:uidLastSave="{00000000-0000-0000-0000-000000000000}"/>
  <bookViews>
    <workbookView xWindow="0" yWindow="0" windowWidth="19200" windowHeight="7520" xr2:uid="{4F63254F-7684-4E9E-810D-EEFB42D4750A}"/>
  </bookViews>
  <sheets>
    <sheet name="Sheet1" sheetId="1" r:id="rId1"/>
  </sheets>
  <definedNames>
    <definedName name="solver_adj" localSheetId="0" hidden="1">Sheet1!$C$10:$D$10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Sheet1!$C$17</definedName>
    <definedName name="solver_lhs2" localSheetId="0" hidden="1">Sheet1!$C$18</definedName>
    <definedName name="solver_lhs3" localSheetId="0" hidden="1">Sheet1!$C$19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3</definedName>
    <definedName name="solver_nwt" localSheetId="0" hidden="1">1</definedName>
    <definedName name="solver_opt" localSheetId="0" hidden="1">Sheet1!$C$12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1</definedName>
    <definedName name="solver_rel3" localSheetId="0" hidden="1">1</definedName>
    <definedName name="solver_rhs1" localSheetId="0" hidden="1">Sheet1!$E$17</definedName>
    <definedName name="solver_rhs2" localSheetId="0" hidden="1">Sheet1!$E$18</definedName>
    <definedName name="solver_rhs3" localSheetId="0" hidden="1">Sheet1!$E$19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9" i="1" l="1"/>
  <c r="C12" i="1" l="1"/>
  <c r="C18" i="1"/>
  <c r="C17" i="1"/>
</calcChain>
</file>

<file path=xl/sharedStrings.xml><?xml version="1.0" encoding="utf-8"?>
<sst xmlns="http://schemas.openxmlformats.org/spreadsheetml/2006/main" count="22" uniqueCount="20">
  <si>
    <t>Blair &amp; Rosen Inc. Brokerage firm</t>
  </si>
  <si>
    <t>Internet Fund</t>
  </si>
  <si>
    <t>Blue chip fund</t>
  </si>
  <si>
    <t>Annual Return</t>
  </si>
  <si>
    <t>Risk Rating (per $1000)</t>
  </si>
  <si>
    <t>Max investment Allowed</t>
  </si>
  <si>
    <t>-</t>
  </si>
  <si>
    <t>Investment</t>
  </si>
  <si>
    <t>Total Return (in $)</t>
  </si>
  <si>
    <t>CONSTRAINTS</t>
  </si>
  <si>
    <t>FORMULAE</t>
  </si>
  <si>
    <t>Total Investment Constraint</t>
  </si>
  <si>
    <t>Internet Fund Constraint</t>
  </si>
  <si>
    <t>Risk Constraint</t>
  </si>
  <si>
    <t>&lt;=</t>
  </si>
  <si>
    <t>On Col C</t>
  </si>
  <si>
    <t>=SUM(C10:D10)</t>
  </si>
  <si>
    <t>=C10</t>
  </si>
  <si>
    <t>=SUMPRODUCT(C5:D5,C10:D10)</t>
  </si>
  <si>
    <t>=SUMPRODUCT(C10:D10/1000,C6:D6)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</si>
</sst>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mbria"/>
      <family val="1"/>
    </font>
    <font>
      <b/>
      <sz val="11"/>
      <name val="Times New Roman"/>
      <family val="1"/>
    </font>
    <font>
      <sz val="11"/>
      <color rgb="FF000000"/>
      <name val="Cambria"/>
      <family val="1"/>
    </font>
    <font>
      <b/>
      <sz val="11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Cambria"/>
      <family val="1"/>
    </font>
    <font>
      <sz val="12"/>
      <color rgb="FF000000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rgb="FFFF0000"/>
      </left>
      <right/>
      <top style="medium">
        <color indexed="64"/>
      </top>
      <bottom style="medium">
        <color indexed="64"/>
      </bottom>
      <diagonal/>
    </border>
    <border>
      <left style="medium">
        <color rgb="FFFFFF00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0" xfId="0" applyFill="1"/>
    <xf numFmtId="0" fontId="4" fillId="0" borderId="2" xfId="0" applyFont="1" applyBorder="1" applyAlignment="1">
      <alignment horizontal="center" vertical="center" wrapText="1"/>
    </xf>
    <xf numFmtId="0" fontId="0" fillId="0" borderId="3" xfId="0" applyBorder="1"/>
    <xf numFmtId="0" fontId="0" fillId="0" borderId="0" xfId="0" applyAlignment="1">
      <alignment horizontal="center"/>
    </xf>
    <xf numFmtId="0" fontId="7" fillId="0" borderId="0" xfId="0" applyFont="1" applyBorder="1"/>
    <xf numFmtId="0" fontId="7" fillId="0" borderId="0" xfId="0" applyFont="1"/>
    <xf numFmtId="0" fontId="8" fillId="0" borderId="0" xfId="0" applyFont="1"/>
    <xf numFmtId="9" fontId="4" fillId="0" borderId="0" xfId="0" applyNumberFormat="1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9" fontId="4" fillId="0" borderId="4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8" fontId="4" fillId="0" borderId="5" xfId="0" applyNumberFormat="1" applyFont="1" applyBorder="1" applyAlignment="1">
      <alignment horizontal="center" vertical="center" wrapText="1"/>
    </xf>
    <xf numFmtId="0" fontId="0" fillId="3" borderId="6" xfId="0" applyFill="1" applyBorder="1"/>
    <xf numFmtId="0" fontId="0" fillId="3" borderId="1" xfId="0" applyFill="1" applyBorder="1"/>
    <xf numFmtId="0" fontId="3" fillId="0" borderId="8" xfId="0" applyFont="1" applyBorder="1" applyAlignment="1">
      <alignment horizontal="justify" vertical="center" wrapText="1"/>
    </xf>
    <xf numFmtId="0" fontId="3" fillId="0" borderId="9" xfId="0" applyFont="1" applyBorder="1" applyAlignment="1">
      <alignment horizontal="justify" vertical="center" wrapText="1"/>
    </xf>
    <xf numFmtId="0" fontId="2" fillId="0" borderId="10" xfId="0" applyFont="1" applyBorder="1" applyAlignment="1">
      <alignment horizontal="justify" vertical="center" wrapText="1"/>
    </xf>
    <xf numFmtId="0" fontId="3" fillId="0" borderId="11" xfId="0" applyFont="1" applyBorder="1" applyAlignment="1">
      <alignment horizontal="justify" vertical="center" wrapText="1"/>
    </xf>
    <xf numFmtId="0" fontId="3" fillId="0" borderId="11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justify" vertical="center" wrapText="1"/>
    </xf>
    <xf numFmtId="0" fontId="9" fillId="0" borderId="0" xfId="0" applyFont="1"/>
    <xf numFmtId="0" fontId="10" fillId="0" borderId="0" xfId="0" applyFont="1"/>
    <xf numFmtId="0" fontId="0" fillId="0" borderId="0" xfId="0" quotePrefix="1"/>
    <xf numFmtId="0" fontId="6" fillId="0" borderId="0" xfId="0" applyFont="1" applyAlignment="1"/>
    <xf numFmtId="0" fontId="7" fillId="0" borderId="0" xfId="0" applyFont="1" applyAlignment="1"/>
    <xf numFmtId="0" fontId="0" fillId="0" borderId="0" xfId="0" applyAlignment="1"/>
    <xf numFmtId="0" fontId="0" fillId="2" borderId="0" xfId="0" applyFill="1" applyAlignment="1"/>
    <xf numFmtId="0" fontId="1" fillId="0" borderId="0" xfId="0" applyFont="1" applyAlignment="1">
      <alignment horizontal="center"/>
    </xf>
    <xf numFmtId="0" fontId="11" fillId="2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685DD-6FAB-4231-9043-8A18114D2DA9}">
  <dimension ref="A1:AL20"/>
  <sheetViews>
    <sheetView tabSelected="1" zoomScaleNormal="100" workbookViewId="0">
      <selection activeCell="G24" sqref="G24"/>
    </sheetView>
  </sheetViews>
  <sheetFormatPr defaultRowHeight="14.5" x14ac:dyDescent="0.35"/>
  <cols>
    <col min="1" max="1" width="8.7265625" customWidth="1"/>
    <col min="2" max="2" width="27.08984375" customWidth="1"/>
    <col min="3" max="3" width="13.7265625" customWidth="1"/>
    <col min="4" max="4" width="13.81640625" customWidth="1"/>
  </cols>
  <sheetData>
    <row r="1" spans="1:38" ht="17.5" x14ac:dyDescent="0.35">
      <c r="A1" s="1"/>
      <c r="B1" s="1"/>
      <c r="C1" s="29" t="s">
        <v>0</v>
      </c>
      <c r="D1" s="29"/>
      <c r="E1" s="29"/>
      <c r="F1" s="29"/>
      <c r="G1" s="29"/>
      <c r="H1" s="29"/>
      <c r="I1" s="29"/>
      <c r="J1" s="29"/>
      <c r="K1" s="27"/>
      <c r="L1" s="27"/>
      <c r="M1" s="27"/>
      <c r="N1" s="27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3" spans="1:38" ht="15" thickBot="1" x14ac:dyDescent="0.4"/>
    <row r="4" spans="1:38" x14ac:dyDescent="0.35">
      <c r="B4" s="17"/>
      <c r="C4" s="15" t="s">
        <v>1</v>
      </c>
      <c r="D4" s="16" t="s">
        <v>2</v>
      </c>
    </row>
    <row r="5" spans="1:38" x14ac:dyDescent="0.35">
      <c r="B5" s="18" t="s">
        <v>3</v>
      </c>
      <c r="C5" s="8">
        <v>0.12</v>
      </c>
      <c r="D5" s="10">
        <v>0.09</v>
      </c>
    </row>
    <row r="6" spans="1:38" ht="17" customHeight="1" x14ac:dyDescent="0.35">
      <c r="B6" s="19" t="s">
        <v>4</v>
      </c>
      <c r="C6" s="9">
        <v>6</v>
      </c>
      <c r="D6" s="11">
        <v>4</v>
      </c>
    </row>
    <row r="7" spans="1:38" ht="15" thickBot="1" x14ac:dyDescent="0.4">
      <c r="B7" s="20" t="s">
        <v>5</v>
      </c>
      <c r="C7" s="12">
        <v>35000</v>
      </c>
      <c r="D7" s="2" t="s">
        <v>6</v>
      </c>
    </row>
    <row r="8" spans="1:38" ht="15.5" x14ac:dyDescent="0.35">
      <c r="I8" s="24"/>
      <c r="J8" s="26"/>
      <c r="K8" s="26"/>
    </row>
    <row r="9" spans="1:38" ht="15" thickBot="1" x14ac:dyDescent="0.4"/>
    <row r="10" spans="1:38" ht="16" thickBot="1" x14ac:dyDescent="0.4">
      <c r="B10" s="3" t="s">
        <v>7</v>
      </c>
      <c r="C10" s="13">
        <v>20000</v>
      </c>
      <c r="D10" s="14">
        <v>30000</v>
      </c>
      <c r="I10" s="30" t="s">
        <v>10</v>
      </c>
      <c r="J10" s="31"/>
      <c r="K10" s="31"/>
    </row>
    <row r="11" spans="1:38" ht="15" thickBot="1" x14ac:dyDescent="0.4"/>
    <row r="12" spans="1:38" ht="15" thickBot="1" x14ac:dyDescent="0.4">
      <c r="B12" s="3" t="s">
        <v>8</v>
      </c>
      <c r="C12" s="32">
        <f>SUMPRODUCT(C5:D5,C10:D10)</f>
        <v>5100</v>
      </c>
      <c r="D12" s="33"/>
      <c r="I12" s="23" t="s">
        <v>18</v>
      </c>
    </row>
    <row r="15" spans="1:38" ht="15.5" x14ac:dyDescent="0.35">
      <c r="C15" s="30" t="s">
        <v>9</v>
      </c>
      <c r="D15" s="34"/>
      <c r="E15" s="34"/>
      <c r="F15" s="5"/>
      <c r="G15" s="6"/>
      <c r="H15" s="24"/>
      <c r="I15" s="25"/>
      <c r="J15" s="25"/>
      <c r="K15" s="25"/>
    </row>
    <row r="16" spans="1:38" x14ac:dyDescent="0.35">
      <c r="I16" s="28" t="s">
        <v>15</v>
      </c>
      <c r="J16" s="28"/>
      <c r="K16" s="28"/>
    </row>
    <row r="17" spans="2:9" ht="15.5" x14ac:dyDescent="0.35">
      <c r="B17" s="21" t="s">
        <v>11</v>
      </c>
      <c r="C17" s="4">
        <f>SUM(C10:D10)</f>
        <v>50000</v>
      </c>
      <c r="D17" s="4" t="s">
        <v>14</v>
      </c>
      <c r="E17" s="4">
        <v>50000</v>
      </c>
      <c r="I17" s="23" t="s">
        <v>16</v>
      </c>
    </row>
    <row r="18" spans="2:9" ht="15.5" x14ac:dyDescent="0.35">
      <c r="B18" s="21" t="s">
        <v>12</v>
      </c>
      <c r="C18" s="4">
        <f>C10</f>
        <v>20000</v>
      </c>
      <c r="D18" s="4" t="s">
        <v>14</v>
      </c>
      <c r="E18" s="4">
        <v>35000</v>
      </c>
      <c r="I18" s="23" t="s">
        <v>17</v>
      </c>
    </row>
    <row r="19" spans="2:9" x14ac:dyDescent="0.35">
      <c r="B19" s="22" t="s">
        <v>13</v>
      </c>
      <c r="C19" s="4">
        <f>SUMPRODUCT(C10:D10/1000,C6:D6)</f>
        <v>240</v>
      </c>
      <c r="D19" s="4" t="s">
        <v>14</v>
      </c>
      <c r="E19" s="4">
        <v>240</v>
      </c>
      <c r="I19" s="23" t="s">
        <v>19</v>
      </c>
    </row>
    <row r="20" spans="2:9" ht="15.5" x14ac:dyDescent="0.35">
      <c r="B20" s="7"/>
      <c r="I20" s="23"/>
    </row>
  </sheetData>
  <mergeCells count="5">
    <mergeCell ref="I16:K16"/>
    <mergeCell ref="C1:J1"/>
    <mergeCell ref="I10:K10"/>
    <mergeCell ref="C12:D12"/>
    <mergeCell ref="C15:E1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Rakshitha Vignesh Sargurunathan</dc:creator>
  <cp:lastModifiedBy>Rakshitha Vignesh Sargurunathan</cp:lastModifiedBy>
  <dcterms:created xsi:type="dcterms:W3CDTF">2024-09-18T19:48:16Z</dcterms:created>
  <dcterms:modified xsi:type="dcterms:W3CDTF">2024-09-19T03:46:52Z</dcterms:modified>
</cp:coreProperties>
</file>